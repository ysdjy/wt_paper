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9eaf1f7fb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对比方法" sheetId="1" r:id="Rffa4eb4b99e643db"/>
    <x:sheet xmlns:r="http://schemas.openxmlformats.org/officeDocument/2006/relationships" name="文献方法详情" sheetId="2" r:id="Rb58e1739b6224bc9"/>
    <x:sheet xmlns:r="http://schemas.openxmlformats.org/officeDocument/2006/relationships" name="来源与口径" sheetId="3" r:id="R658d9d55233f40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EEF7EA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</x:fills>
  <x:borders count="14">
    <x:border/>
    <x:border/>
    <x:border>
      <x:left style="thin">
        <x:color rgb="FFB7B7B7"/>
      </x:left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0" fontId="4" fillId="6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200" fontId="4" fillId="5" borderId="0" xfId="0" applyNumberFormat="1" applyFont="1" applyFill="1" applyBorder="1" applyAlignment="1">
      <x:alignment horizontal="center" vertical="top" wrapText="1"/>
    </x:xf>
    <x:xf numFmtId="200" fontId="4" fillId="6" borderId="0" xfId="0" applyNumberFormat="1" applyFont="1" applyFill="1" applyBorder="1" applyAlignment="1">
      <x:alignment horizontal="center" vertical="top" wrapText="1"/>
    </x:xf>
    <x:xf numFmtId="200" fontId="4" fillId="5" borderId="1" xfId="0" applyNumberFormat="1" applyFont="1" applyFill="1" applyBorder="1" applyAlignment="1">
      <x:alignment horizontal="center" vertical="top" wrapText="1"/>
    </x:xf>
    <x:xf numFmtId="200" fontId="4" fillId="6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5" fillId="7" borderId="2" xfId="0" applyNumberFormat="1" applyFont="1" applyFill="1" applyBorder="1" applyAlignment="1">
      <x:alignment horizontal="center"/>
    </x:xf>
    <x:xf numFmtId="0" fontId="5" fillId="7" borderId="3" xfId="0" applyNumberFormat="1" applyFont="1" applyFill="1" applyBorder="1" applyAlignment="1">
      <x:alignment horizontal="center"/>
    </x:xf>
    <x:xf numFmtId="0" fontId="6" fillId="8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horizontal="center"/>
    </x:xf>
    <x:xf numFmtId="0" fontId="6" fillId="8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horizontal="center"/>
    </x:xf>
    <x:xf numFmtId="0" fontId="5" fillId="7" borderId="8" xfId="0" applyNumberFormat="1" applyFont="1" applyFill="1" applyBorder="1" applyAlignment="1">
      <x:alignment horizontal="center"/>
    </x:xf>
    <x:xf numFmtId="0" fontId="5" fillId="7" borderId="9" xfId="0" applyNumberFormat="1" applyFont="1" applyFill="1" applyBorder="1" applyAlignment="1">
      <x:alignment horizontal="center"/>
    </x:xf>
    <x:xf numFmtId="0" fontId="6" fillId="8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horizontal="center"/>
    </x:xf>
    <x:xf numFmtId="0" fontId="6" fillId="8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200" fontId="4" fillId="0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7"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ont>
        <x:b/>
        <x:color rgb="FF006100"/>
      </x:font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ae1e2634d4638" /><Relationship Type="http://schemas.openxmlformats.org/officeDocument/2006/relationships/theme" Target="/xl/theme/theme1.xml" Id="R83bfabff9fbc4e2b" /><Relationship Type="http://schemas.openxmlformats.org/officeDocument/2006/relationships/sharedStrings" Target="/xl/sharedStrings.xml" Id="Raf681c221bb54897" /><Relationship Type="http://schemas.openxmlformats.org/officeDocument/2006/relationships/worksheet" Target="/xl/worksheets/sheet1.xml" Id="Rffa4eb4b99e643db" /><Relationship Type="http://schemas.openxmlformats.org/officeDocument/2006/relationships/worksheet" Target="/xl/worksheets/sheet2.xml" Id="Rb58e1739b6224bc9" /><Relationship Type="http://schemas.openxmlformats.org/officeDocument/2006/relationships/worksheet" Target="/xl/worksheets/sheet3.xml" Id="R658d9d55233f4086" /></Relationships>
</file>

<file path=xl/tables/table1.xml><?xml version="1.0" encoding="utf-8"?>
<x:table xmlns:x="http://schemas.openxmlformats.org/spreadsheetml/2006/main" id="1" name="FinalBaselinesTable" displayName="FinalBaselinesTable" ref="A4:R13" headerRowCount="1" totalsRowCount="0" totalsRowShown="0">
  <x:tableColumns count="18">
    <x:tableColumn id="1" name="序号"/>
    <x:tableColumn id="2" name="方法类型"/>
    <x:tableColumn id="3" name="方法名称"/>
    <x:tableColumn id="4" name="技术路线"/>
    <x:tableColumn id="5" name="实验角色/价值"/>
    <x:tableColumn id="6" name="论文名称"/>
    <x:tableColumn id="7" name="期刊"/>
    <x:tableColumn id="8" name="影响因子(IF)"/>
    <x:tableColumn id="9" name="年份"/>
    <x:tableColumn id="10" name="第一作者"/>
    <x:tableColumn id="11" name="第一作者单位（中文）"/>
    <x:tableColumn id="12" name="数据集"/>
    <x:tableColumn id="13" name="当前复现状态"/>
    <x:tableColumn id="14" name="复现难度"/>
    <x:tableColumn id="15" name="与DC-PSR协议公平性"/>
    <x:tableColumn id="16" name="推荐用途"/>
    <x:tableColumn id="17" name="最终建议"/>
    <x:tableColumn id="18" name="关键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teratureMethodsTable" displayName="LiteratureMethodsTable" ref="A4:U10" headerRowCount="1" totalsRowCount="0" totalsRowShown="0">
  <x:tableColumns count="21">
    <x:tableColumn id="1" name="方法名称"/>
    <x:tableColumn id="2" name="论文全名"/>
    <x:tableColumn id="3" name="期刊"/>
    <x:tableColumn id="4" name="IF"/>
    <x:tableColumn id="5" name="年份"/>
    <x:tableColumn id="6" name="第一作者"/>
    <x:tableColumn id="7" name="第一作者单位（中文）"/>
    <x:tableColumn id="8" name="核心方法/结构"/>
    <x:tableColumn id="9" name="原始数据集与任务"/>
    <x:tableColumn id="10" name="原文代表结果"/>
    <x:tableColumn id="11" name="公开代码情况"/>
    <x:tableColumn id="12" name="复现难点"/>
    <x:tableColumn id="13" name="Claude预计工程时间"/>
    <x:tableColumn id="14" name="与DC-PSR对比价值"/>
    <x:tableColumn id="15" name="协议公平性"/>
    <x:tableColumn id="16" name="建议放置位置"/>
    <x:tableColumn id="17" name="DOI"/>
    <x:tableColumn id="18" name="论文来源URL"/>
    <x:tableColumn id="19" name="IF来源URL"/>
    <x:tableColumn id="20" name="单位来源URL"/>
    <x:tableColumn id="21" name="信息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3:E22" headerRowCount="1" totalsRowCount="0" totalsRowShown="0">
  <x:tableColumns count="5">
    <x:tableColumn id="1" name="类别"/>
    <x:tableColumn id="2" name="对象"/>
    <x:tableColumn id="3" name="值/说明"/>
    <x:tableColumn id="4" name="来源URL"/>
    <x:tableColumn id="5" name="检索/核对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6e9af7a93d4b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f9410536cd43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427067e20d443e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24" hidden="0" customWidth="1"/>
    <x:col min="4" max="4" width="23" hidden="0" customWidth="1"/>
    <x:col min="5" max="5" width="34" hidden="0" customWidth="1"/>
    <x:col min="6" max="6" width="48" hidden="0" customWidth="1"/>
    <x:col min="7" max="7" width="36" hidden="0" customWidth="1"/>
    <x:col min="8" max="8" width="10" hidden="0" customWidth="1"/>
    <x:col min="9" max="9" width="8" hidden="0" customWidth="1"/>
    <x:col min="10" max="10" width="17" hidden="0" customWidth="1"/>
    <x:col min="11" max="11" width="34" hidden="0" customWidth="1"/>
    <x:col min="12" max="12" width="28" hidden="0" customWidth="1"/>
    <x:col min="13" max="13" width="15" hidden="0" customWidth="1"/>
    <x:col min="14" max="14" width="12" hidden="0" customWidth="1"/>
    <x:col min="15" max="15" width="20" hidden="0" customWidth="1"/>
    <x:col min="16" max="16" width="18" hidden="0" customWidth="1"/>
    <x:col min="17" max="17" width="16" hidden="0" customWidth="1"/>
    <x:col min="18" max="18" width="44" hidden="0" customWidth="1"/>
    <x:col min="20" max="20" width="22" hidden="0" customWidth="1"/>
    <x:col min="21" max="21" width="10" hidden="0" customWidth="1"/>
  </x:cols>
  <x:sheetData>
    <x:row r="1" ht="28" customHeight="1">
      <x:c r="A1" s="5" t="str">
        <x:v>DC-PSR论文最终对比方法方案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T1" s="64" t="str">
        <x:v>统计项</x:v>
      </x:c>
      <x:c r="U1" s="65" t="str">
        <x:v>数量</x:v>
      </x:c>
    </x:row>
    <x:row r="2" ht="24" customHeight="1">
      <x:c r="A2" s="12" t="str">
        <x:v>3个通用/内部基线 + 6个文献方法；DC-PSR作为Proposed另列，不计入本表9个Baseline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T2" s="66" t="str">
        <x:v>Baseline总数</x:v>
      </x:c>
      <x:c r="U2" s="67" t="n">
        <x:f>COUNTA(C5:C13)</x:f>
        <x:v>9</x:v>
      </x:c>
    </x:row>
    <x:row r="3">
      <x:c r="T3" s="66" t="str">
        <x:v>通用/内部基线</x:v>
      </x:c>
      <x:c r="U3" s="67" t="n">
        <x:f>COUNTIF(B5:B13,"通用/内部基线")</x:f>
        <x:v>3</x:v>
      </x:c>
    </x:row>
    <x:row r="4" ht="36" customHeight="1">
      <x:c r="A4" s="20" t="str">
        <x:v>序号</x:v>
      </x:c>
      <x:c r="B4" s="20" t="str">
        <x:v>方法类型</x:v>
      </x:c>
      <x:c r="C4" s="20" t="str">
        <x:v>方法名称</x:v>
      </x:c>
      <x:c r="D4" s="20" t="str">
        <x:v>技术路线</x:v>
      </x:c>
      <x:c r="E4" s="20" t="str">
        <x:v>实验角色/价值</x:v>
      </x:c>
      <x:c r="F4" s="20" t="str">
        <x:v>论文名称</x:v>
      </x:c>
      <x:c r="G4" s="20" t="str">
        <x:v>期刊</x:v>
      </x:c>
      <x:c r="H4" s="20" t="str">
        <x:v>影响因子(IF)</x:v>
      </x:c>
      <x:c r="I4" s="20" t="str">
        <x:v>年份</x:v>
      </x:c>
      <x:c r="J4" s="20" t="str">
        <x:v>第一作者</x:v>
      </x:c>
      <x:c r="K4" s="20" t="str">
        <x:v>第一作者单位（中文）</x:v>
      </x:c>
      <x:c r="L4" s="20" t="str">
        <x:v>数据集</x:v>
      </x:c>
      <x:c r="M4" s="20" t="str">
        <x:v>当前复现状态</x:v>
      </x:c>
      <x:c r="N4" s="20" t="str">
        <x:v>复现难度</x:v>
      </x:c>
      <x:c r="O4" s="20" t="str">
        <x:v>与DC-PSR协议公平性</x:v>
      </x:c>
      <x:c r="P4" s="20" t="str">
        <x:v>推荐用途</x:v>
      </x:c>
      <x:c r="Q4" s="20" t="str">
        <x:v>最终建议</x:v>
      </x:c>
      <x:c r="R4" s="20" t="str">
        <x:v>关键备注</x:v>
      </x:c>
      <x:c r="T4" s="66" t="str">
        <x:v>文献方法</x:v>
      </x:c>
      <x:c r="U4" s="67" t="n">
        <x:f>COUNTIF(B5:B13,"文献方法")</x:f>
        <x:v>6</x:v>
      </x:c>
    </x:row>
    <x:row r="5" ht="68" customHeight="1">
      <x:c r="A5" s="40" t="n">
        <x:v>1</x:v>
      </x:c>
      <x:c r="B5" s="32" t="str">
        <x:v>通用/内部基线</x:v>
      </x:c>
      <x:c r="C5" s="32" t="str">
        <x:v>RF</x:v>
      </x:c>
      <x:c r="D5" s="32" t="str">
        <x:v>Classical ML</x:v>
      </x:c>
      <x:c r="E5" s="32" t="str">
        <x:v>最强传统ML锚点；检验复杂模型是否必要</x:v>
      </x:c>
      <x:c r="F5" s="32" t="str">
        <x:v>—</x:v>
      </x:c>
      <x:c r="G5" s="32" t="str">
        <x:v>—</x:v>
      </x:c>
      <x:c r="H5" s="44"/>
      <x:c r="I5" s="40" t="str">
        <x:v>—</x:v>
      </x:c>
      <x:c r="J5" s="40" t="str">
        <x:v>—</x:v>
      </x:c>
      <x:c r="K5" s="32" t="str">
        <x:v>—</x:v>
      </x:c>
      <x:c r="L5" s="32" t="str">
        <x:v>PHM2010、NASA Milling（按本文统一协议）</x:v>
      </x:c>
      <x:c r="M5" s="40" t="str">
        <x:v>当前稿已实现</x:v>
      </x:c>
      <x:c r="N5" s="40" t="str">
        <x:v>低</x:v>
      </x:c>
      <x:c r="O5" s="40" t="str">
        <x:v>高</x:v>
      </x:c>
      <x:c r="P5" s="40" t="str">
        <x:v>主比较</x:v>
      </x:c>
      <x:c r="Q5" s="40" t="str">
        <x:v>保留</x:v>
      </x:c>
      <x:c r="R5" s="32" t="str">
        <x:v>不对应某篇特定论文；可在正文引用RF基础文献，但不包装成文献复现</x:v>
      </x:c>
      <x:c r="T5" s="66" t="str">
        <x:v>已复现文献方法</x:v>
      </x:c>
      <x:c r="U5" s="67" t="n">
        <x:f>COUNTIFS(B5:B13,"文献方法",M5:M13,"已复现")</x:f>
        <x:v>1</x:v>
      </x:c>
    </x:row>
    <x:row r="6" ht="68" customHeight="1">
      <x:c r="A6" s="40" t="n">
        <x:v>2</x:v>
      </x:c>
      <x:c r="B6" s="32" t="str">
        <x:v>通用/内部基线</x:v>
      </x:c>
      <x:c r="C6" s="32" t="str">
        <x:v>TCN-GRU</x:v>
      </x:c>
      <x:c r="D6" s="32" t="str">
        <x:v>Temporal DL</x:v>
      </x:c>
      <x:c r="E6" s="32" t="str">
        <x:v>与DC-PSR backbone对齐；控制网络结构变量</x:v>
      </x:c>
      <x:c r="F6" s="32" t="str">
        <x:v>—</x:v>
      </x:c>
      <x:c r="G6" s="32" t="str">
        <x:v>—</x:v>
      </x:c>
      <x:c r="H6" s="44"/>
      <x:c r="I6" s="40" t="str">
        <x:v>—</x:v>
      </x:c>
      <x:c r="J6" s="40" t="str">
        <x:v>—</x:v>
      </x:c>
      <x:c r="K6" s="32" t="str">
        <x:v>—</x:v>
      </x:c>
      <x:c r="L6" s="32" t="str">
        <x:v>PHM2010、NASA Milling（按本文统一协议）</x:v>
      </x:c>
      <x:c r="M6" s="40" t="str">
        <x:v>当前稿已实现</x:v>
      </x:c>
      <x:c r="N6" s="40" t="str">
        <x:v>低</x:v>
      </x:c>
      <x:c r="O6" s="40" t="str">
        <x:v>高</x:v>
      </x:c>
      <x:c r="P6" s="40" t="str">
        <x:v>主比较</x:v>
      </x:c>
      <x:c r="Q6" s="40" t="str">
        <x:v>保留</x:v>
      </x:c>
      <x:c r="R6" s="32" t="str">
        <x:v>内部控制基线</x:v>
      </x:c>
      <x:c r="T6" s="68" t="str">
        <x:v>高/很高难度文献方法</x:v>
      </x:c>
      <x:c r="U6" s="69" t="n">
        <x:f>COUNTIFS(B5:B13,"文献方法",N5:N13,"高")+COUNTIFS(B5:B13,"文献方法",N5:N13,"很高")</x:f>
        <x:v>3</x:v>
      </x:c>
    </x:row>
    <x:row r="7" ht="68" customHeight="1">
      <x:c r="A7" s="40" t="n">
        <x:v>3</x:v>
      </x:c>
      <x:c r="B7" s="32" t="str">
        <x:v>通用/内部基线</x:v>
      </x:c>
      <x:c r="C7" s="32" t="str">
        <x:v>Multi-task TCN-GRU</x:v>
      </x:c>
      <x:c r="D7" s="32" t="str">
        <x:v>Multi-task DL</x:v>
      </x:c>
      <x:c r="E7" s="32" t="str">
        <x:v>DC-PSR最直接predecessor；控制多任务监督的贡献</x:v>
      </x:c>
      <x:c r="F7" s="32" t="str">
        <x:v>—</x:v>
      </x:c>
      <x:c r="G7" s="32" t="str">
        <x:v>—</x:v>
      </x:c>
      <x:c r="H7" s="44"/>
      <x:c r="I7" s="40" t="str">
        <x:v>—</x:v>
      </x:c>
      <x:c r="J7" s="40" t="str">
        <x:v>—</x:v>
      </x:c>
      <x:c r="K7" s="32" t="str">
        <x:v>—</x:v>
      </x:c>
      <x:c r="L7" s="32" t="str">
        <x:v>PHM2010、NASA Milling（按本文统一协议）</x:v>
      </x:c>
      <x:c r="M7" s="40" t="str">
        <x:v>当前稿已实现</x:v>
      </x:c>
      <x:c r="N7" s="40" t="str">
        <x:v>低</x:v>
      </x:c>
      <x:c r="O7" s="40" t="str">
        <x:v>高</x:v>
      </x:c>
      <x:c r="P7" s="40" t="str">
        <x:v>主比较</x:v>
      </x:c>
      <x:c r="Q7" s="40" t="str">
        <x:v>必须保留</x:v>
      </x:c>
      <x:c r="R7" s="32" t="str">
        <x:v>Stage + Fine-state + degradation-position heads；不需强行对应外部论文</x:v>
      </x:c>
    </x:row>
    <x:row r="8" ht="68" customHeight="1">
      <x:c r="A8" s="41" t="n">
        <x:v>4</x:v>
      </x:c>
      <x:c r="B8" s="34" t="str">
        <x:v>文献方法</x:v>
      </x:c>
      <x:c r="C8" s="34" t="str">
        <x:v>HTT-Net</x:v>
      </x:c>
      <x:c r="D8" s="34" t="str">
        <x:v>Temporal Transformer</x:v>
      </x:c>
      <x:c r="E8" s="34" t="str">
        <x:v>代表现代纯数据驱动时序Transformer</x:v>
      </x:c>
      <x:c r="F8" s="34" t="str">
        <x:v>Hierarchical temporal transformer network for tool wear state recognition</x:v>
      </x:c>
      <x:c r="G8" s="34" t="str">
        <x:v>Advanced Engineering Informatics</x:v>
      </x:c>
      <x:c r="H8" s="45" t="n">
        <x:v>9.9</x:v>
      </x:c>
      <x:c r="I8" s="41" t="n">
        <x:v>2023</x:v>
      </x:c>
      <x:c r="J8" s="41" t="str">
        <x:v>Zhongling Xue</x:v>
      </x:c>
      <x:c r="K8" s="34" t="str">
        <x:v>南京航空航天大学</x:v>
      </x:c>
      <x:c r="L8" s="34" t="str">
        <x:v>PHM2010；TC4</x:v>
      </x:c>
      <x:c r="M8" s="41" t="str">
        <x:v>已复现</x:v>
      </x:c>
      <x:c r="N8" s="41" t="str">
        <x:v>已完成</x:v>
      </x:c>
      <x:c r="O8" s="41" t="str">
        <x:v>高</x:v>
      </x:c>
      <x:c r="P8" s="41" t="str">
        <x:v>主比较</x:v>
      </x:c>
      <x:c r="Q8" s="41" t="str">
        <x:v>必须保留</x:v>
      </x:c>
      <x:c r="R8" s="34" t="str">
        <x:v>已复现；适配统一三阶段标签与数据划分后用于公平比较</x:v>
      </x:c>
    </x:row>
    <x:row r="9" ht="68" customHeight="1">
      <x:c r="A9" s="41" t="n">
        <x:v>5</x:v>
      </x:c>
      <x:c r="B9" s="34" t="str">
        <x:v>文献方法</x:v>
      </x:c>
      <x:c r="C9" s="34" t="str">
        <x:v>Multi-source Channel-Spatial Attention</x:v>
      </x:c>
      <x:c r="D9" s="34" t="str">
        <x:v>CNN + CWT + Multi-source Attention</x:v>
      </x:c>
      <x:c r="E9" s="34" t="str">
        <x:v>代表多源融合与模糊阶段边界判别</x:v>
      </x:c>
      <x:c r="F9" s="34" t="str">
        <x:v>Research on tool wear state identification method driven by multi-source information fusion and multi-dimension attention mechanism</x:v>
      </x:c>
      <x:c r="G9" s="34" t="str">
        <x:v>Robotics and Computer-Integrated Manufacturing</x:v>
      </x:c>
      <x:c r="H9" s="45" t="n">
        <x:v>11.4</x:v>
      </x:c>
      <x:c r="I9" s="41" t="n">
        <x:v>2024</x:v>
      </x:c>
      <x:c r="J9" s="41" t="str">
        <x:v>Peining Wei</x:v>
      </x:c>
      <x:c r="K9" s="34" t="str">
        <x:v>哈尔滨理工大学（第一作者具体学院需以论文Title Page最终核对）</x:v>
      </x:c>
      <x:c r="L9" s="34" t="str">
        <x:v>PHM2010</x:v>
      </x:c>
      <x:c r="M9" s="41" t="str">
        <x:v>待复现</x:v>
      </x:c>
      <x:c r="N9" s="41" t="str">
        <x:v>低-中</x:v>
      </x:c>
      <x:c r="O9" s="41" t="str">
        <x:v>高</x:v>
      </x:c>
      <x:c r="P9" s="41" t="str">
        <x:v>主比较</x:v>
      </x:c>
      <x:c r="Q9" s="41" t="str">
        <x:v>强烈保留</x:v>
      </x:c>
      <x:c r="R9" s="34" t="str">
        <x:v>原文综合准确率0.982；三阶段F1约0.977/0.968/0.993</x:v>
      </x:c>
    </x:row>
    <x:row r="10" ht="68" customHeight="1">
      <x:c r="A10" s="41" t="n">
        <x:v>6</x:v>
      </x:c>
      <x:c r="B10" s="34" t="str">
        <x:v>文献方法</x:v>
      </x:c>
      <x:c r="C10" s="34" t="str">
        <x:v>MTF-AViTK</x:v>
      </x:c>
      <x:c r="D10" s="34" t="str">
        <x:v>MTF + ViT + AdaptMLP + KAN</x:v>
      </x:c>
      <x:c r="E10" s="34" t="str">
        <x:v>代表ViT/KAN现代图像化时序建模路线</x:v>
      </x:c>
      <x:c r="F10" s="34" t="str">
        <x:v>Tool wear state recognition study based on an MTF and a vision transformer with a Kolmogorov-Arnold network</x:v>
      </x:c>
      <x:c r="G10" s="34" t="str">
        <x:v>Mechanical Systems and Signal Processing</x:v>
      </x:c>
      <x:c r="H10" s="45" t="n">
        <x:v>8.9</x:v>
      </x:c>
      <x:c r="I10" s="41" t="n">
        <x:v>2025</x:v>
      </x:c>
      <x:c r="J10" s="41" t="str">
        <x:v>Shengming Dong</x:v>
      </x:c>
      <x:c r="K10" s="34" t="str">
        <x:v>哈尔滨理工大学（第一作者具体学院需以论文Title Page最终核对）</x:v>
      </x:c>
      <x:c r="L10" s="34" t="str">
        <x:v>PHM2010（两组数据）</x:v>
      </x:c>
      <x:c r="M10" s="41" t="str">
        <x:v>待复现</x:v>
      </x:c>
      <x:c r="N10" s="41" t="str">
        <x:v>中-高</x:v>
      </x:c>
      <x:c r="O10" s="41" t="str">
        <x:v>高</x:v>
      </x:c>
      <x:c r="P10" s="41" t="str">
        <x:v>主比较</x:v>
      </x:c>
      <x:c r="Q10" s="41" t="str">
        <x:v>建议保留</x:v>
      </x:c>
      <x:c r="R10" s="34" t="str">
        <x:v>原文最高识别准确率95.76%和95.71%；与HTT-Net同属Transformer系，优先级略低</x:v>
      </x:c>
    </x:row>
    <x:row r="11" ht="68" customHeight="1">
      <x:c r="A11" s="41" t="n">
        <x:v>7</x:v>
      </x:c>
      <x:c r="B11" s="34" t="str">
        <x:v>文献方法</x:v>
      </x:c>
      <x:c r="C11" s="34" t="str">
        <x:v>Dynamic GIN + TGP</x:v>
      </x:c>
      <x:c r="D11" s="34" t="str">
        <x:v>GNN + Dynamic Graph + Temporal Graph Pooling</x:v>
      </x:c>
      <x:c r="E11" s="34" t="str">
        <x:v>代表多传感器非欧关系与图时序建模</x:v>
      </x:c>
      <x:c r="F11" s="34" t="str">
        <x:v>Research on dynamic graph isomorphism network for tool wear stage monitoring based on multi-source information fusion</x:v>
      </x:c>
      <x:c r="G11" s="34" t="str">
        <x:v>Measurement</x:v>
      </x:c>
      <x:c r="H11" s="45" t="n">
        <x:v>5.6</x:v>
      </x:c>
      <x:c r="I11" s="41" t="n">
        <x:v>2026</x:v>
      </x:c>
      <x:c r="J11" s="41" t="str">
        <x:v>Fangcun Cao</x:v>
      </x:c>
      <x:c r="K11" s="34" t="str">
        <x:v>西安交通大学制造系统工程国家重点实验室</x:v>
      </x:c>
      <x:c r="L11" s="34" t="str">
        <x:v>PHM2010</x:v>
      </x:c>
      <x:c r="M11" s="41" t="str">
        <x:v>待复现</x:v>
      </x:c>
      <x:c r="N11" s="41" t="str">
        <x:v>高</x:v>
      </x:c>
      <x:c r="O11" s="41" t="str">
        <x:v>高</x:v>
      </x:c>
      <x:c r="P11" s="41" t="str">
        <x:v>主比较</x:v>
      </x:c>
      <x:c r="Q11" s="41" t="str">
        <x:v>强烈保留</x:v>
      </x:c>
      <x:c r="R11" s="34" t="str">
        <x:v>原文平均准确率96.51%，直接做三阶段磨损监测；与本文任务高度契合</x:v>
      </x:c>
    </x:row>
    <x:row r="12" ht="68" customHeight="1">
      <x:c r="A12" s="41" t="n">
        <x:v>8</x:v>
      </x:c>
      <x:c r="B12" s="34" t="str">
        <x:v>文献方法</x:v>
      </x:c>
      <x:c r="C12" s="34" t="str">
        <x:v>DP2Net</x:v>
      </x:c>
      <x:c r="D12" s="34" t="str">
        <x:v>Physics-constrained Single-source Domain Generalization</x:v>
      </x:c>
      <x:c r="E12" s="34" t="str">
        <x:v>代表unseen-condition单源域泛化；与DC-PSR协议最公平的跨工况强基线</x:v>
      </x:c>
      <x:c r="F12" s="34" t="str">
        <x:v>DP2Net: A discontinuous physical property-constrained single-source domain generalization network for tool wear state recognition</x:v>
      </x:c>
      <x:c r="G12" s="34" t="str">
        <x:v>Mechanical Systems and Signal Processing</x:v>
      </x:c>
      <x:c r="H12" s="45" t="n">
        <x:v>8.9</x:v>
      </x:c>
      <x:c r="I12" s="41" t="n">
        <x:v>2024</x:v>
      </x:c>
      <x:c r="J12" s="41" t="str">
        <x:v>Xuwei Lai</x:v>
      </x:c>
      <x:c r="K12" s="34" t="str">
        <x:v>西南交通大学机械工程学院</x:v>
      </x:c>
      <x:c r="L12" s="34" t="str">
        <x:v>PHM2010；自建铣削数据</x:v>
      </x:c>
      <x:c r="M12" s="41" t="str">
        <x:v>待复现</x:v>
      </x:c>
      <x:c r="N12" s="41" t="str">
        <x:v>高</x:v>
      </x:c>
      <x:c r="O12" s="41" t="str">
        <x:v>很高</x:v>
      </x:c>
      <x:c r="P12" s="41" t="str">
        <x:v>跨工况主/重点比较</x:v>
      </x:c>
      <x:c r="Q12" s="41" t="str">
        <x:v>强烈保留</x:v>
      </x:c>
      <x:c r="R12" s="34" t="str">
        <x:v>不使用目标域参与训练，更符合unseen-target跨工况泛化设定</x:v>
      </x:c>
    </x:row>
    <x:row r="13" ht="68" customHeight="1">
      <x:c r="A13" s="41" t="n">
        <x:v>9</x:v>
      </x:c>
      <x:c r="B13" s="34" t="str">
        <x:v>文献方法</x:v>
      </x:c>
      <x:c r="C13" s="34" t="str">
        <x:v>MCDADAN</x:v>
      </x:c>
      <x:c r="D13" s="34" t="str">
        <x:v>Multi-target Domain Adaptation</x:v>
      </x:c>
      <x:c r="E13" s="34" t="str">
        <x:v>代表2026多目标域适应与工况解耦路线</x:v>
      </x:c>
      <x:c r="F13" s="34" t="str">
        <x:v>Machining condition variation decoupling adversarial domain adaptation network: A multi-target domain tool wear state recognition method</x:v>
      </x:c>
      <x:c r="G13" s="34" t="str">
        <x:v>Mechanical Systems and Signal Processing</x:v>
      </x:c>
      <x:c r="H13" s="45" t="n">
        <x:v>8.9</x:v>
      </x:c>
      <x:c r="I13" s="41" t="n">
        <x:v>2026</x:v>
      </x:c>
      <x:c r="J13" s="41" t="str">
        <x:v>Shunxiang Yao</x:v>
      </x:c>
      <x:c r="K13" s="34" t="str">
        <x:v>公开页面未确认第一作者单位（共同作者Shuoxue Sun为大连理工大学；需全文Title Page核对）</x:v>
      </x:c>
      <x:c r="L13" s="34" t="str">
        <x:v>PHM2010；自建GH4169数据</x:v>
      </x:c>
      <x:c r="M13" s="41" t="str">
        <x:v>待复现</x:v>
      </x:c>
      <x:c r="N13" s="41" t="str">
        <x:v>很高</x:v>
      </x:c>
      <x:c r="O13" s="41" t="str">
        <x:v>低（与本文主协议不完全一致）</x:v>
      </x:c>
      <x:c r="P13" s="41" t="str">
        <x:v>扩展对比/域适应专题</x:v>
      </x:c>
      <x:c r="Q13" s="41" t="str">
        <x:v>保留为第6篇文献方法</x:v>
      </x:c>
      <x:c r="R13" s="34" t="str">
        <x:v>训练需利用目标域无标签数据；不宜与完全unseen-target方法等权比较</x:v>
      </x:c>
    </x:row>
  </x:sheetData>
  <x:mergeCells>
    <x:mergeCell ref="A1:R1"/>
    <x:mergeCell ref="A2:R2"/>
  </x:mergeCells>
  <x:conditionalFormatting sqref="N5:N13">
    <x:cfRule type="expression" dxfId="0" priority="1">
      <x:formula>OR(N5="高",N5="很高")</x:formula>
    </x:cfRule>
  </x:conditionalFormatting>
  <x:conditionalFormatting sqref="O5:O13">
    <x:cfRule type="expression" dxfId="1" priority="2">
      <x:formula>LEFT(O5,1)="高"</x:formula>
    </x:cfRule>
    <x:cfRule type="expression" dxfId="2" priority="3">
      <x:formula>LEFT(O5,1)="低"</x:formula>
    </x:cfRule>
  </x:conditionalFormatting>
  <x:conditionalFormatting sqref="Q5:Q13">
    <x:cfRule type="expression" dxfId="3" priority="4">
      <x:formula>ISNUMBER(SEARCH("保留",Q5))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6e9af7a93d4b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36" hidden="0" customWidth="1"/>
    <x:col min="4" max="4" width="8" hidden="0" customWidth="1"/>
    <x:col min="5" max="5" width="8" hidden="0" customWidth="1"/>
    <x:col min="6" max="6" width="16" hidden="0" customWidth="1"/>
    <x:col min="7" max="7" width="35" hidden="0" customWidth="1"/>
    <x:col min="8" max="8" width="52" hidden="0" customWidth="1"/>
    <x:col min="9" max="9" width="35" hidden="0" customWidth="1"/>
    <x:col min="10" max="10" width="34" hidden="0" customWidth="1"/>
    <x:col min="11" max="11" width="30" hidden="0" customWidth="1"/>
    <x:col min="12" max="12" width="48" hidden="0" customWidth="1"/>
    <x:col min="13" max="13" width="22" hidden="0" customWidth="1"/>
    <x:col min="14" max="14" width="50" hidden="0" customWidth="1"/>
    <x:col min="15" max="15" width="24" hidden="0" customWidth="1"/>
    <x:col min="16" max="16" width="30" hidden="0" customWidth="1"/>
    <x:col min="17" max="17" width="28" hidden="0" customWidth="1"/>
    <x:col min="18" max="18" width="55" hidden="0" customWidth="1"/>
    <x:col min="19" max="19" width="50" hidden="0" customWidth="1"/>
    <x:col min="20" max="20" width="55" hidden="0" customWidth="1"/>
    <x:col min="21" max="21" width="50" hidden="0" customWidth="1"/>
  </x:cols>
  <x:sheetData>
    <x:row r="1" ht="28" customHeight="1">
      <x:c r="A1" s="5" t="str">
        <x:v>6个文献对比方法：文献信息、复现成本与DC-PSR对比价值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24" customHeight="1">
      <x:c r="A2" s="12" t="str">
        <x:v>影响因子均采用Elsevier ScienceDirect期刊主页当前显示值（检索日期：2026-08-18）；论文结果仅记录原文公开页面明确支持的信息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 ht="38" customHeight="1">
      <x:c r="A4" s="20" t="str">
        <x:v>方法名称</x:v>
      </x:c>
      <x:c r="B4" s="20" t="str">
        <x:v>论文全名</x:v>
      </x:c>
      <x:c r="C4" s="20" t="str">
        <x:v>期刊</x:v>
      </x:c>
      <x:c r="D4" s="20" t="str">
        <x:v>IF</x:v>
      </x:c>
      <x:c r="E4" s="20" t="str">
        <x:v>年份</x:v>
      </x:c>
      <x:c r="F4" s="20" t="str">
        <x:v>第一作者</x:v>
      </x:c>
      <x:c r="G4" s="20" t="str">
        <x:v>第一作者单位（中文）</x:v>
      </x:c>
      <x:c r="H4" s="20" t="str">
        <x:v>核心方法/结构</x:v>
      </x:c>
      <x:c r="I4" s="20" t="str">
        <x:v>原始数据集与任务</x:v>
      </x:c>
      <x:c r="J4" s="20" t="str">
        <x:v>原文代表结果</x:v>
      </x:c>
      <x:c r="K4" s="20" t="str">
        <x:v>公开代码情况</x:v>
      </x:c>
      <x:c r="L4" s="20" t="str">
        <x:v>复现难点</x:v>
      </x:c>
      <x:c r="M4" s="20" t="str">
        <x:v>Claude预计工程时间</x:v>
      </x:c>
      <x:c r="N4" s="20" t="str">
        <x:v>与DC-PSR对比价值</x:v>
      </x:c>
      <x:c r="O4" s="20" t="str">
        <x:v>协议公平性</x:v>
      </x:c>
      <x:c r="P4" s="20" t="str">
        <x:v>建议放置位置</x:v>
      </x:c>
      <x:c r="Q4" s="20" t="str">
        <x:v>DOI</x:v>
      </x:c>
      <x:c r="R4" s="20" t="str">
        <x:v>论文来源URL</x:v>
      </x:c>
      <x:c r="S4" s="20" t="str">
        <x:v>IF来源URL</x:v>
      </x:c>
      <x:c r="T4" s="20" t="str">
        <x:v>单位来源URL</x:v>
      </x:c>
      <x:c r="U4" s="20" t="str">
        <x:v>信息备注</x:v>
      </x:c>
    </x:row>
    <x:row r="5" ht="120" customHeight="1">
      <x:c r="A5" s="28" t="str">
        <x:v>HTT-Net</x:v>
      </x:c>
      <x:c r="B5" s="28" t="str">
        <x:v>Hierarchical temporal transformer network for tool wear state recognition</x:v>
      </x:c>
      <x:c r="C5" s="28" t="str">
        <x:v>Advanced Engineering Informatics</x:v>
      </x:c>
      <x:c r="D5" s="78" t="n">
        <x:v>9.9</x:v>
      </x:c>
      <x:c r="E5" s="79" t="n">
        <x:v>2023</x:v>
      </x:c>
      <x:c r="F5" s="79" t="str">
        <x:v>Zhongling Xue</x:v>
      </x:c>
      <x:c r="G5" s="79" t="str">
        <x:v>南京航空航天大学</x:v>
      </x:c>
      <x:c r="H5" s="28" t="str">
        <x:v>改进Swin Transformer到1D时间序列；1D Temporal Transformer Block、shifted windows、token merging、层次化时序表征</x:v>
      </x:c>
      <x:c r="I5" s="28" t="str">
        <x:v>PHM2010 + TC4；刀具磨损状态识别</x:v>
      </x:c>
      <x:c r="J5" s="28" t="str">
        <x:v>论文称PHM2010相对既有方法最高提升16.13%；TC4准确率98.87%</x:v>
      </x:c>
      <x:c r="K5" s="79" t="str">
        <x:v>未检索到作者公开GitHub仓库；本项目已完成复现</x:v>
      </x:c>
      <x:c r="L5" s="28" t="str">
        <x:v>已解决；后续重点是统一输入接口、三阶段标签和评价协议</x:v>
      </x:c>
      <x:c r="M5" s="79" t="str">
        <x:v>已完成</x:v>
      </x:c>
      <x:c r="N5" s="79" t="str">
        <x:v>提供现代Temporal Transformer强基线，检验DC-PSR优势是否只是来自更强时序网络</x:v>
      </x:c>
      <x:c r="O5" s="79" t="str">
        <x:v>高</x:v>
      </x:c>
      <x:c r="P5" s="79" t="str">
        <x:v>主比较</x:v>
      </x:c>
      <x:c r="Q5" s="28" t="str">
        <x:v>10.1016/j.aei.2023.102218</x:v>
      </x:c>
      <x:c r="R5" s="28" t="str">
        <x:v>https://www.sciencedirect.com/science/article/pii/S1474034623003464</x:v>
      </x:c>
      <x:c r="S5" s="28" t="str">
        <x:v>https://www.sciencedirect.com/journal/advanced-engineering-informatics</x:v>
      </x:c>
      <x:c r="T5" s="28" t="str">
        <x:v>https://jglobal.jst.go.jp/detail?JGLOBAL_ID=202402251580759427</x:v>
      </x:c>
      <x:c r="U5" s="28" t="str">
        <x:v>第一作者单位公开来源明确到南京航空航天大学；具体学院可在最终引用前再核对Title Page</x:v>
      </x:c>
    </x:row>
    <x:row r="6" ht="120" customHeight="1">
      <x:c r="A6" s="28" t="str">
        <x:v>Multi-source Channel-Spatial Attention</x:v>
      </x:c>
      <x:c r="B6" s="28" t="str">
        <x:v>Research on tool wear state identification method driven by multi-source information fusion and multi-dimension attention mechanism</x:v>
      </x:c>
      <x:c r="C6" s="28" t="str">
        <x:v>Robotics and Computer-Integrated Manufacturing</x:v>
      </x:c>
      <x:c r="D6" s="78" t="n">
        <x:v>11.4</x:v>
      </x:c>
      <x:c r="E6" s="79" t="n">
        <x:v>2024</x:v>
      </x:c>
      <x:c r="F6" s="79" t="str">
        <x:v>Peining Wei</x:v>
      </x:c>
      <x:c r="G6" s="79" t="str">
        <x:v>哈尔滨理工大学（第一作者具体学院需以论文Title Page最终核对）</x:v>
      </x:c>
      <x:c r="H6" s="28" t="str">
        <x:v>CWT将切削信号变为时频图；多源信息融合；Channel-Spatial Attention增强模糊阶段边界判别</x:v>
      </x:c>
      <x:c r="I6" s="28" t="str">
        <x:v>PHM2010；initial/normal/severe三阶段刀具磨损状态识别</x:v>
      </x:c>
      <x:c r="J6" s="28" t="str">
        <x:v>综合准确率0.982；F1：initial 0.977、normal 0.968、severe 0.993</x:v>
      </x:c>
      <x:c r="K6" s="79" t="str">
        <x:v>未检索到作者公开GitHub仓库</x:v>
      </x:c>
      <x:c r="L6" s="28" t="str">
        <x:v>CWT母小波/尺度、有效切削段截取、输入传感器组合、两支路融合位置需要从全文核对</x:v>
      </x:c>
      <x:c r="M6" s="79" t="str">
        <x:v>2–4 h调通；4–8 h较忠实复现</x:v>
      </x:c>
      <x:c r="N6" s="79" t="str">
        <x:v>直接针对多源信息与fuzzy transition region，是对DC-PSR中间阶段压缩问题的高价值竞争方法</x:v>
      </x:c>
      <x:c r="O6" s="79" t="str">
        <x:v>高</x:v>
      </x:c>
      <x:c r="P6" s="79" t="str">
        <x:v>主比较</x:v>
      </x:c>
      <x:c r="Q6" s="28" t="str">
        <x:v>10.1016/j.rcim.2024.102741</x:v>
      </x:c>
      <x:c r="R6" s="28" t="str">
        <x:v>https://www.sciencedirect.com/science/article/pii/S0736584524000279</x:v>
      </x:c>
      <x:c r="S6" s="28" t="str">
        <x:v>https://www.sciencedirect.com/journal/robotics-and-computer-integrated-manufacturing</x:v>
      </x:c>
      <x:c r="T6" s="28" t="str">
        <x:v>https://www.researchgate.net/publication/382771708_Research_on_tool_wear_state_identification_method_driven_by_multi-source_information_fusion_and_multi-dimension_attention_mechanism</x:v>
      </x:c>
      <x:c r="U6" s="28" t="str">
        <x:v>公开作者资料显示核心作者团队来自哈尔滨理工大学；第一作者具体学院建议拿到全文Title Page后最终核对</x:v>
      </x:c>
    </x:row>
    <x:row r="7" ht="120" customHeight="1">
      <x:c r="A7" s="28" t="str">
        <x:v>MTF-AViTK</x:v>
      </x:c>
      <x:c r="B7" s="28" t="str">
        <x:v>Tool wear state recognition study based on an MTF and a vision transformer with a Kolmogorov-Arnold network</x:v>
      </x:c>
      <x:c r="C7" s="28" t="str">
        <x:v>Mechanical Systems and Signal Processing</x:v>
      </x:c>
      <x:c r="D7" s="78" t="n">
        <x:v>8.9</x:v>
      </x:c>
      <x:c r="E7" s="79" t="n">
        <x:v>2025</x:v>
      </x:c>
      <x:c r="F7" s="79" t="str">
        <x:v>Shengming Dong</x:v>
      </x:c>
      <x:c r="G7" s="79" t="str">
        <x:v>哈尔滨理工大学（第一作者具体学院需以论文Title Page最终核对）</x:v>
      </x:c>
      <x:c r="H7" s="28" t="str">
        <x:v>1D时序→Markov Transition Field二维图像→ViT→AdaptMLP→KAN分类器</x:v>
      </x:c>
      <x:c r="I7" s="28" t="str">
        <x:v>PHM2010两组数据；刀具磨损状态识别</x:v>
      </x:c>
      <x:c r="J7" s="28" t="str">
        <x:v>最高识别准确率95.76%和95.71%</x:v>
      </x:c>
      <x:c r="K7" s="79" t="str">
        <x:v>未检索到作者公开GitHub仓库</x:v>
      </x:c>
      <x:c r="L7" s="28" t="str">
        <x:v>MTF编码参数、ViT patch/embedding、AdaptMLP细节、KAN网格/基函数与训练参数均需精确复现</x:v>
      </x:c>
      <x:c r="M7" s="79" t="str">
        <x:v>4–8 h较忠实复现</x:v>
      </x:c>
      <x:c r="N7" s="79" t="str">
        <x:v>补充ViT+KAN现代基线，能显著提升对比方法的新颖度；但与HTT-Net存在一定Transformer路线重叠</x:v>
      </x:c>
      <x:c r="O7" s="79" t="str">
        <x:v>高</x:v>
      </x:c>
      <x:c r="P7" s="79" t="str">
        <x:v>主比较；若工期紧可作为第一替补淘汰项</x:v>
      </x:c>
      <x:c r="Q7" s="28" t="str">
        <x:v>10.1016/j.ymssp.2025.112473</x:v>
      </x:c>
      <x:c r="R7" s="28" t="str">
        <x:v>https://www.sciencedirect.com/science/article/pii/S0888327025001748</x:v>
      </x:c>
      <x:c r="S7" s="28" t="str">
        <x:v>https://www.sciencedirect.com/journal/mechanical-systems-and-signal-processing</x:v>
      </x:c>
      <x:c r="T7" s="28" t="str">
        <x:v>https://www.researchgate.net/scientific-contributions/Shengming-Dong-2247660488</x:v>
      </x:c>
      <x:c r="U7" s="28" t="str">
        <x:v>公开资料支持第一作者与哈尔滨理工大学关联；具体学院建议Title Page核对</x:v>
      </x:c>
    </x:row>
    <x:row r="8" ht="120" customHeight="1">
      <x:c r="A8" s="28" t="str">
        <x:v>Dynamic GIN + TGP</x:v>
      </x:c>
      <x:c r="B8" s="28" t="str">
        <x:v>Research on dynamic graph isomorphism network for tool wear stage monitoring based on multi-source information fusion</x:v>
      </x:c>
      <x:c r="C8" s="28" t="str">
        <x:v>Measurement</x:v>
      </x:c>
      <x:c r="D8" s="78" t="n">
        <x:v>5.6</x:v>
      </x:c>
      <x:c r="E8" s="79" t="n">
        <x:v>2026</x:v>
      </x:c>
      <x:c r="F8" s="79" t="str">
        <x:v>Fangcun Cao</x:v>
      </x:c>
      <x:c r="G8" s="79" t="str">
        <x:v>西安交通大学制造系统工程国家重点实验室</x:v>
      </x:c>
      <x:c r="H8" s="28" t="str">
        <x:v>CNN + GASF提取时空特征；基于余弦相似度构造静态/动态图；GIN融合邻域信息；Temporal Graph Pooling逐步压缩</x:v>
      </x:c>
      <x:c r="I8" s="28" t="str">
        <x:v>PHM2010；三阶段刀具磨损stage monitoring</x:v>
      </x:c>
      <x:c r="J8" s="28" t="str">
        <x:v>平均识别准确率96.51%，较当时SOTA提升0.97%</x:v>
      </x:c>
      <x:c r="K8" s="79" t="str">
        <x:v>未检索到作者公开GitHub仓库</x:v>
      </x:c>
      <x:c r="L8" s="28" t="str">
        <x:v>GASF参数、静态/动态图构造规则、时变边、TGP实现与图维度递减策略；不能用普通global pooling替代TGP</x:v>
      </x:c>
      <x:c r="M8" s="79" t="str">
        <x:v>6–12 h</x:v>
      </x:c>
      <x:c r="N8" s="79" t="str">
        <x:v>与本文三阶段任务高度一致；代表现代GNN路线，可检验图关系建模与退化语义/概率约束的差异</x:v>
      </x:c>
      <x:c r="O8" s="79" t="str">
        <x:v>高</x:v>
      </x:c>
      <x:c r="P8" s="79" t="str">
        <x:v>主比较，优先级很高</x:v>
      </x:c>
      <x:c r="Q8" s="28" t="str">
        <x:v>10.1016/j.measurement.2025.119007</x:v>
      </x:c>
      <x:c r="R8" s="28" t="str">
        <x:v>https://www.sciencedirect.com/science/article/pii/S0263224125023668</x:v>
      </x:c>
      <x:c r="S8" s="28" t="str">
        <x:v>https://www.sciencedirect.com/journal/measurement</x:v>
      </x:c>
      <x:c r="T8" s="28" t="str">
        <x:v>https://jglobal.jst.go.jp/en/public/202502254943633343</x:v>
      </x:c>
      <x:c r="U8" s="28" t="str">
        <x:v>第一作者单位由J-GLOBAL明确给出</x:v>
      </x:c>
    </x:row>
    <x:row r="9" ht="120" customHeight="1">
      <x:c r="A9" s="28" t="str">
        <x:v>DP2Net</x:v>
      </x:c>
      <x:c r="B9" s="28" t="str">
        <x:v>DP2Net: A discontinuous physical property-constrained single-source domain generalization network for tool wear state recognition</x:v>
      </x:c>
      <x:c r="C9" s="28" t="str">
        <x:v>Mechanical Systems and Signal Processing</x:v>
      </x:c>
      <x:c r="D9" s="78" t="n">
        <x:v>8.9</x:v>
      </x:c>
      <x:c r="E9" s="79" t="n">
        <x:v>2024</x:v>
      </x:c>
      <x:c r="F9" s="79" t="str">
        <x:v>Xuwei Lai</x:v>
      </x:c>
      <x:c r="G9" s="79" t="str">
        <x:v>西南交通大学机械工程学院</x:v>
      </x:c>
      <x:c r="H9" s="28" t="str">
        <x:v>Spatial Attention + 物理属性约束生成模块；以标准样本约束生成多样化且具物理一致性的源域样本；Single-source Domain Generalization</x:v>
      </x:c>
      <x:c r="I9" s="28" t="str">
        <x:v>PHM2010 + 自建铣削数据；cross-condition unseen-target wear state recognition</x:v>
      </x:c>
      <x:c r="J9" s="28" t="str">
        <x:v>原文通过公开数据与三种分布差异级别加工实验验证泛化性能；摘要未给出单一统一准确率</x:v>
      </x:c>
      <x:c r="K9" s="79" t="str">
        <x:v>未检索到作者公开GitHub仓库</x:v>
      </x:c>
      <x:c r="L9" s="28" t="str">
        <x:v>物理标准趋势样本、生成器结构、物理约束损失、源域扩增策略和训练稳定性</x:v>
      </x:c>
      <x:c r="M9" s="79" t="str">
        <x:v>6–12 h+</x:v>
      </x:c>
      <x:c r="N9" s="79" t="str">
        <x:v>与DC-PSR的unseen-condition设置高度一致，代表真正的domain generalization竞争路线</x:v>
      </x:c>
      <x:c r="O9" s="79" t="str">
        <x:v>很高</x:v>
      </x:c>
      <x:c r="P9" s="79" t="str">
        <x:v>跨工况主比较/重点比较</x:v>
      </x:c>
      <x:c r="Q9" s="28" t="str">
        <x:v>10.1016/j.ymssp.2024.111421</x:v>
      </x:c>
      <x:c r="R9" s="28" t="str">
        <x:v>https://www.sciencedirect.com/science/article/pii/S0888327024003194</x:v>
      </x:c>
      <x:c r="S9" s="28" t="str">
        <x:v>https://www.sciencedirect.com/journal/mechanical-systems-and-signal-processing</x:v>
      </x:c>
      <x:c r="T9" s="28" t="str">
        <x:v>https://www.researchgate.net/publication/379955535_DP2Net_A_discontinuous_physical_property-constrained_single-source_domain_generalization_network_for_tool_wear_state_recognition</x:v>
      </x:c>
      <x:c r="U9" s="28" t="str">
        <x:v>全文公开片段明确：School of Mechanical Engineering, Southwest Jiaotong University</x:v>
      </x:c>
    </x:row>
    <x:row r="10" ht="120" customHeight="1">
      <x:c r="A10" s="28" t="str">
        <x:v>MCDADAN</x:v>
      </x:c>
      <x:c r="B10" s="28" t="str">
        <x:v>Machining condition variation decoupling adversarial domain adaptation network: A multi-target domain tool wear state recognition method</x:v>
      </x:c>
      <x:c r="C10" s="28" t="str">
        <x:v>Mechanical Systems and Signal Processing</x:v>
      </x:c>
      <x:c r="D10" s="78" t="n">
        <x:v>8.9</x:v>
      </x:c>
      <x:c r="E10" s="79" t="n">
        <x:v>2026</x:v>
      </x:c>
      <x:c r="F10" s="79" t="str">
        <x:v>Shunxiang Yao</x:v>
      </x:c>
      <x:c r="G10" s="79" t="str">
        <x:v>公开页面未确认第一作者单位（共同作者Shuoxue Sun为大连理工大学；需全文Title Page核对）</x:v>
      </x:c>
      <x:c r="H10" s="28" t="str">
        <x:v>共享权重小波卷积特征提取器 + prototype discrepancy alignment + 自适应domain discriminator weighting + 工况解耦 + blended multi-domain alignment</x:v>
      </x:c>
      <x:c r="I10" s="28" t="str">
        <x:v>PHM2010 + 自建GH4169；multi-target domain adaptation</x:v>
      </x:c>
      <x:c r="J10" s="28" t="str">
        <x:v>摘要称在两套数据上显著优于传统方法，但未给出单一统一准确率</x:v>
      </x:c>
      <x:c r="K10" s="79" t="str">
        <x:v>未检索到作者公开GitHub仓库</x:v>
      </x:c>
      <x:c r="L10" s="28" t="str">
        <x:v>小波卷积、prototype alignment、多目标域对齐、对抗训练、域判别器权重和工况解耦模块同时实现，调参成本高</x:v>
      </x:c>
      <x:c r="M10" s="79" t="str">
        <x:v>8–16 h+；稳定调通可能1–2天</x:v>
      </x:c>
      <x:c r="N10" s="79" t="str">
        <x:v>概念上与cross-condition主题极强，但方法训练阶段使用目标域无标签数据，和本文完全unseen-target协议不同</x:v>
      </x:c>
      <x:c r="O10" s="79" t="str">
        <x:v>低（若直接等权主表比较）</x:v>
      </x:c>
      <x:c r="P10" s="79" t="str">
        <x:v>扩展UDA/MTDA实验或Related Work；若主表使用必须单独注明目标域可见性</x:v>
      </x:c>
      <x:c r="Q10" s="28" t="str">
        <x:v>10.1016/j.ymssp.2026.114293</x:v>
      </x:c>
      <x:c r="R10" s="28" t="str">
        <x:v>https://www.sciencedirect.com/science/article/pii/S0888327026004504</x:v>
      </x:c>
      <x:c r="S10" s="28" t="str">
        <x:v>https://www.sciencedirect.com/journal/mechanical-systems-and-signal-processing</x:v>
      </x:c>
      <x:c r="T10" s="28" t="str">
        <x:v>https://www.researchgate.net/publication/404334198_Machining_condition_variation_decoupling_adversarial_domain_adaptation_network_A_multi-target_domain_tool_wear_state_recognition_method</x:v>
      </x:c>
      <x:c r="U10" s="28" t="str">
        <x:v>公开页面仅明确共同作者Shuoxue Sun为大连理工大学；第一作者单位尚未从可访问公开页面直接确认，需全文Title Page核对</x:v>
      </x:c>
    </x:row>
  </x:sheetData>
  <x:mergeCells>
    <x:mergeCell ref="A1:U1"/>
    <x:mergeCell ref="A2:U2"/>
  </x:mergeCells>
  <x:conditionalFormatting sqref="O5:O10">
    <x:cfRule type="expression" dxfId="4" priority="1">
      <x:formula>LEFT(O5,1)="高"</x:formula>
    </x:cfRule>
    <x:cfRule type="expression" dxfId="5" priority="2">
      <x:formula>LEFT(O5,1)="低"</x:formula>
    </x:cfRule>
  </x:conditionalFormatting>
  <x:conditionalFormatting sqref="M5:M10">
    <x:cfRule type="expression" dxfId="6" priority="3">
      <x:formula>ISNUMBER(SEARCH("12",M5))+ISNUMBER(SEARCH("16",M5))&gt;0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f9410536cd43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55" hidden="0" customWidth="1"/>
    <x:col min="4" max="4" width="72" hidden="0" customWidth="1"/>
    <x:col min="5" max="5" width="55" hidden="0" customWidth="1"/>
  </x:cols>
  <x:sheetData>
    <x:row r="1" ht="28" customHeight="1">
      <x:c r="A1" s="5" t="str">
        <x:v>来源、影响因子口径与实验公平性说明</x:v>
      </x:c>
      <x:c r="B1" s="5"/>
      <x:c r="C1" s="5"/>
      <x:c r="D1" s="5"/>
      <x:c r="E1" s="5"/>
    </x:row>
    <x:row r="3" ht="32" customHeight="1">
      <x:c r="A3" s="20" t="str">
        <x:v>类别</x:v>
      </x:c>
      <x:c r="B3" s="20" t="str">
        <x:v>对象</x:v>
      </x:c>
      <x:c r="C3" s="20" t="str">
        <x:v>值/说明</x:v>
      </x:c>
      <x:c r="D3" s="20" t="str">
        <x:v>来源URL</x:v>
      </x:c>
      <x:c r="E3" s="20" t="str">
        <x:v>检索/核对备注</x:v>
      </x:c>
    </x:row>
    <x:row r="4" ht="46" customHeight="1">
      <x:c r="A4" s="28" t="str">
        <x:v>IF口径</x:v>
      </x:c>
      <x:c r="B4" s="28" t="str">
        <x:v>Advanced Engineering Informatics</x:v>
      </x:c>
      <x:c r="C4" s="28" t="str">
        <x:v>Impact Factor = 9.9</x:v>
      </x:c>
      <x:c r="D4" s="28" t="str">
        <x:v>https://www.sciencedirect.com/journal/advanced-engineering-informatics</x:v>
      </x:c>
      <x:c r="E4" s="28" t="str">
        <x:v>Elsevier ScienceDirect期刊主页当前显示；检索日期2026-08-18</x:v>
      </x:c>
    </x:row>
    <x:row r="5" ht="46" customHeight="1">
      <x:c r="A5" s="28" t="str">
        <x:v>IF口径</x:v>
      </x:c>
      <x:c r="B5" s="28" t="str">
        <x:v>Robotics and Computer-Integrated Manufacturing</x:v>
      </x:c>
      <x:c r="C5" s="28" t="str">
        <x:v>Impact Factor = 11.4</x:v>
      </x:c>
      <x:c r="D5" s="28" t="str">
        <x:v>https://www.sciencedirect.com/journal/robotics-and-computer-integrated-manufacturing</x:v>
      </x:c>
      <x:c r="E5" s="28" t="str">
        <x:v>Elsevier ScienceDirect期刊主页当前显示；检索日期2026-08-18</x:v>
      </x:c>
    </x:row>
    <x:row r="6" ht="46" customHeight="1">
      <x:c r="A6" s="28" t="str">
        <x:v>IF口径</x:v>
      </x:c>
      <x:c r="B6" s="28" t="str">
        <x:v>Mechanical Systems and Signal Processing</x:v>
      </x:c>
      <x:c r="C6" s="28" t="str">
        <x:v>Impact Factor = 8.9</x:v>
      </x:c>
      <x:c r="D6" s="28" t="str">
        <x:v>https://www.sciencedirect.com/journal/mechanical-systems-and-signal-processing</x:v>
      </x:c>
      <x:c r="E6" s="28" t="str">
        <x:v>Elsevier ScienceDirect期刊主页当前显示；检索日期2026-08-18</x:v>
      </x:c>
    </x:row>
    <x:row r="7" ht="46" customHeight="1">
      <x:c r="A7" s="28" t="str">
        <x:v>IF口径</x:v>
      </x:c>
      <x:c r="B7" s="28" t="str">
        <x:v>Measurement</x:v>
      </x:c>
      <x:c r="C7" s="28" t="str">
        <x:v>Impact Factor = 5.6</x:v>
      </x:c>
      <x:c r="D7" s="28" t="str">
        <x:v>https://www.sciencedirect.com/journal/measurement</x:v>
      </x:c>
      <x:c r="E7" s="28" t="str">
        <x:v>Elsevier ScienceDirect期刊主页当前显示；检索日期2026-08-18</x:v>
      </x:c>
    </x:row>
    <x:row r="8" ht="46" customHeight="1">
      <x:c r="A8" s="28" t="str">
        <x:v>论文</x:v>
      </x:c>
      <x:c r="B8" s="28" t="str">
        <x:v>HTT-Net</x:v>
      </x:c>
      <x:c r="C8" s="28" t="str">
        <x:v>题名、作者、DOI、期刊、年份、方法摘要</x:v>
      </x:c>
      <x:c r="D8" s="28" t="str">
        <x:v>https://www.sciencedirect.com/science/article/pii/S1474034623003464</x:v>
      </x:c>
      <x:c r="E8" s="28" t="str">
        <x:v>第一作者单位另由J-GLOBAL核对为南京航空航天大学</x:v>
      </x:c>
    </x:row>
    <x:row r="9" ht="46" customHeight="1">
      <x:c r="A9" s="28" t="str">
        <x:v>单位</x:v>
      </x:c>
      <x:c r="B9" s="28" t="str">
        <x:v>HTT-Net第一作者</x:v>
      </x:c>
      <x:c r="C9" s="28" t="str">
        <x:v>Nanjing University of Aeronautics &amp; Astronautics</x:v>
      </x:c>
      <x:c r="D9" s="28" t="str">
        <x:v>https://jglobal.jst.go.jp/detail?JGLOBAL_ID=202402251580759427</x:v>
      </x:c>
      <x:c r="E9" s="28" t="str">
        <x:v>中文记为南京航空航天大学</x:v>
      </x:c>
    </x:row>
    <x:row r="10" ht="46" customHeight="1">
      <x:c r="A10" s="28" t="str">
        <x:v>论文</x:v>
      </x:c>
      <x:c r="B10" s="28" t="str">
        <x:v>Multi-source Channel-Spatial Attention</x:v>
      </x:c>
      <x:c r="C10" s="28" t="str">
        <x:v>题名、作者、DOI、原文结果</x:v>
      </x:c>
      <x:c r="D10" s="28" t="str">
        <x:v>https://www.sciencedirect.com/science/article/pii/S0736584524000279</x:v>
      </x:c>
      <x:c r="E10" s="28" t="str">
        <x:v>第一作者具体学院公开页面未直接展示</x:v>
      </x:c>
    </x:row>
    <x:row r="11" ht="46" customHeight="1">
      <x:c r="A11" s="28" t="str">
        <x:v>单位</x:v>
      </x:c>
      <x:c r="B11" s="28" t="str">
        <x:v>Multi-source Attention作者团队</x:v>
      </x:c>
      <x:c r="C11" s="28" t="str">
        <x:v>Harbin University of Science and Technology</x:v>
      </x:c>
      <x:c r="D11" s="28" t="str">
        <x:v>https://www.researchgate.net/publication/382771708_Research_on_tool_wear_state_identification_method_driven_by_multi-source_information_fusion_and_multi-dimension_attention_mechanism</x:v>
      </x:c>
      <x:c r="E11" s="28" t="str">
        <x:v>建议最终拿到Title Page后核对第一作者具体学院</x:v>
      </x:c>
    </x:row>
    <x:row r="12" ht="46" customHeight="1">
      <x:c r="A12" s="28" t="str">
        <x:v>论文</x:v>
      </x:c>
      <x:c r="B12" s="28" t="str">
        <x:v>MTF-AViTK</x:v>
      </x:c>
      <x:c r="C12" s="28" t="str">
        <x:v>题名、作者、DOI、原文结果</x:v>
      </x:c>
      <x:c r="D12" s="28" t="str">
        <x:v>https://www.sciencedirect.com/science/article/pii/S0888327025001748</x:v>
      </x:c>
      <x:c r="E12" s="28" t="str">
        <x:v>PHM2010两组数据；最高95.76%/95.71%</x:v>
      </x:c>
    </x:row>
    <x:row r="13" ht="46" customHeight="1">
      <x:c r="A13" s="28" t="str">
        <x:v>单位</x:v>
      </x:c>
      <x:c r="B13" s="28" t="str">
        <x:v>MTF-AViTK第一作者</x:v>
      </x:c>
      <x:c r="C13" s="28" t="str">
        <x:v>Harbin University of Science and Technology（公开作者资料关联）</x:v>
      </x:c>
      <x:c r="D13" s="28" t="str">
        <x:v>https://www.researchgate.net/scientific-contributions/Shengming-Dong-2247660488</x:v>
      </x:c>
      <x:c r="E13" s="28" t="str">
        <x:v>建议最终Title Page核对具体学院</x:v>
      </x:c>
    </x:row>
    <x:row r="14" ht="46" customHeight="1">
      <x:c r="A14" s="28" t="str">
        <x:v>论文</x:v>
      </x:c>
      <x:c r="B14" s="28" t="str">
        <x:v>Dynamic GIN + TGP</x:v>
      </x:c>
      <x:c r="C14" s="28" t="str">
        <x:v>题名、作者、DOI、原文结果</x:v>
      </x:c>
      <x:c r="D14" s="28" t="str">
        <x:v>https://www.sciencedirect.com/science/article/pii/S0263224125023668</x:v>
      </x:c>
      <x:c r="E14" s="28" t="str">
        <x:v>平均准确率96.51%</x:v>
      </x:c>
    </x:row>
    <x:row r="15" ht="46" customHeight="1">
      <x:c r="A15" s="28" t="str">
        <x:v>单位</x:v>
      </x:c>
      <x:c r="B15" s="28" t="str">
        <x:v>Dynamic GIN第一作者</x:v>
      </x:c>
      <x:c r="C15" s="28" t="str">
        <x:v>State Key Laboratory for Manufacturing Systems Engineering, Xi’an Jiaotong University</x:v>
      </x:c>
      <x:c r="D15" s="28" t="str">
        <x:v>https://jglobal.jst.go.jp/en/public/202502254943633343</x:v>
      </x:c>
      <x:c r="E15" s="28" t="str">
        <x:v>中文记为西安交通大学制造系统工程国家重点实验室</x:v>
      </x:c>
    </x:row>
    <x:row r="16" ht="46" customHeight="1">
      <x:c r="A16" s="28" t="str">
        <x:v>论文</x:v>
      </x:c>
      <x:c r="B16" s="28" t="str">
        <x:v>DP2Net</x:v>
      </x:c>
      <x:c r="C16" s="28" t="str">
        <x:v>题名、作者、DOI、方法与数据</x:v>
      </x:c>
      <x:c r="D16" s="28" t="str">
        <x:v>https://www.sciencedirect.com/science/article/pii/S0888327024003194</x:v>
      </x:c>
      <x:c r="E16" s="28" t="str">
        <x:v>单源域泛化，unseen target</x:v>
      </x:c>
    </x:row>
    <x:row r="17" ht="46" customHeight="1">
      <x:c r="A17" s="28" t="str">
        <x:v>单位</x:v>
      </x:c>
      <x:c r="B17" s="28" t="str">
        <x:v>DP2Net第一作者</x:v>
      </x:c>
      <x:c r="C17" s="28" t="str">
        <x:v>School of Mechanical Engineering, Southwest Jiaotong University</x:v>
      </x:c>
      <x:c r="D17" s="28" t="str">
        <x:v>https://www.researchgate.net/publication/379955535_DP2Net_A_discontinuous_physical_property-constrained_single-source_domain_generalization_network_for_tool_wear_state_recognition</x:v>
      </x:c>
      <x:c r="E17" s="28" t="str">
        <x:v>中文记为西南交通大学机械工程学院</x:v>
      </x:c>
    </x:row>
    <x:row r="18" ht="46" customHeight="1">
      <x:c r="A18" s="28" t="str">
        <x:v>论文</x:v>
      </x:c>
      <x:c r="B18" s="28" t="str">
        <x:v>MCDADAN</x:v>
      </x:c>
      <x:c r="C18" s="28" t="str">
        <x:v>题名、作者、DOI、方法与数据</x:v>
      </x:c>
      <x:c r="D18" s="28" t="str">
        <x:v>https://www.sciencedirect.com/science/article/pii/S0888327026004504</x:v>
      </x:c>
      <x:c r="E18" s="28" t="str">
        <x:v>多目标域适应；PHM2010+GH4169</x:v>
      </x:c>
    </x:row>
    <x:row r="19" ht="46" customHeight="1">
      <x:c r="A19" s="28" t="str">
        <x:v>单位</x:v>
      </x:c>
      <x:c r="B19" s="28" t="str">
        <x:v>MCDADAN第一作者</x:v>
      </x:c>
      <x:c r="C19" s="28" t="str">
        <x:v>公开页面尚未直接确认</x:v>
      </x:c>
      <x:c r="D19" s="28" t="str">
        <x:v>https://www.researchgate.net/publication/404334198_Machining_condition_variation_decoupling_adversarial_domain_adaptation_network_A_multi-target_domain_tool_wear_state_recognition_method</x:v>
      </x:c>
      <x:c r="E19" s="28" t="str">
        <x:v>共同作者Shuoxue Sun明确为大连理工大学；表中第一作者单位为待核对项</x:v>
      </x:c>
    </x:row>
    <x:row r="20" ht="46" customHeight="1">
      <x:c r="A20" s="28" t="str">
        <x:v>论文内部依据</x:v>
      </x:c>
      <x:c r="B20" s="28" t="str">
        <x:v>3个通用/内部baseline</x:v>
      </x:c>
      <x:c r="C20" s="28" t="str">
        <x:v>RF、TCN-GRU、Multi-task TCN-GRU来自当前稿Section 4.2/Table 4</x:v>
      </x:c>
      <x:c r="D20" s="28" t="str">
        <x:v>—</x:v>
      </x:c>
      <x:c r="E20" s="28" t="str">
        <x:v>它们是控制实验锚点，不需要强行对应某篇外部论文</x:v>
      </x:c>
    </x:row>
    <x:row r="21" ht="46" customHeight="1">
      <x:c r="A21" s="28" t="str">
        <x:v>比较原则</x:v>
      </x:c>
      <x:c r="B21" s="28" t="str">
        <x:v>统一协议</x:v>
      </x:c>
      <x:c r="C21" s="28" t="str">
        <x:v>文献方法应在同一阶段标签、train/test split与评价指标下重新运行</x:v>
      </x:c>
      <x:c r="D21" s="28" t="str">
        <x:v>—</x:v>
      </x:c>
      <x:c r="E21" s="28" t="str">
        <x:v>不能直接拿原论文报告Accuracy与DC-PSR横向比较</x:v>
      </x:c>
    </x:row>
    <x:row r="22" ht="46" customHeight="1">
      <x:c r="A22" s="28" t="str">
        <x:v>比较原则</x:v>
      </x:c>
      <x:c r="B22" s="28" t="str">
        <x:v>MCDADAN公平性</x:v>
      </x:c>
      <x:c r="C22" s="28" t="str">
        <x:v>目标域无标签数据参与训练，信息权限高于完全unseen-target设定</x:v>
      </x:c>
      <x:c r="D22" s="28" t="str">
        <x:v>—</x:v>
      </x:c>
      <x:c r="E22" s="28" t="str">
        <x:v>建议单列UDA/MTDA扩展实验或明确注明目标域可见性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e427067e20d443e"/>
  </x:tableParts>
</x:worksheet>
</file>